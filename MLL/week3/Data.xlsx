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1-MIT\11-01-07-2026 to 31-12-2026\2-Machine Learning Lab_CSE 3146\Week-3\"/>
    </mc:Choice>
  </mc:AlternateContent>
  <xr:revisionPtr revIDLastSave="0" documentId="13_ncr:1_{D0CFB6DC-D8F3-4334-92CF-F77E979B938A}" xr6:coauthVersionLast="36" xr6:coauthVersionMax="36" xr10:uidLastSave="{00000000-0000-0000-0000-000000000000}"/>
  <bookViews>
    <workbookView xWindow="0" yWindow="0" windowWidth="22260" windowHeight="1265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2" i="1"/>
  <c r="E3" i="1"/>
  <c r="E4" i="1"/>
  <c r="E5" i="1"/>
  <c r="E6" i="1"/>
  <c r="E7" i="1"/>
  <c r="E8" i="1"/>
  <c r="E9" i="1"/>
  <c r="E10" i="1"/>
  <c r="E11" i="1"/>
  <c r="E12" i="1"/>
  <c r="E2" i="1"/>
  <c r="D3" i="1"/>
  <c r="D4" i="1"/>
  <c r="D5" i="1"/>
  <c r="D6" i="1"/>
  <c r="D7" i="1"/>
  <c r="D8" i="1"/>
  <c r="D9" i="1"/>
  <c r="D10" i="1"/>
  <c r="D11" i="1"/>
  <c r="D12" i="1"/>
  <c r="D2" i="1"/>
  <c r="C3" i="1"/>
  <c r="C4" i="1"/>
  <c r="C5" i="1"/>
  <c r="C6" i="1"/>
  <c r="C7" i="1"/>
  <c r="C8" i="1"/>
  <c r="C9" i="1"/>
  <c r="C10" i="1"/>
  <c r="C11" i="1"/>
  <c r="C12" i="1"/>
  <c r="C2" i="1"/>
</calcChain>
</file>

<file path=xl/sharedStrings.xml><?xml version="1.0" encoding="utf-8"?>
<sst xmlns="http://schemas.openxmlformats.org/spreadsheetml/2006/main" count="14" uniqueCount="11">
  <si>
    <t>Hours (X)</t>
  </si>
  <si>
    <t>Topics Solved (Y)</t>
  </si>
  <si>
    <t>(X - ͞x)</t>
  </si>
  <si>
    <t>(y - ͞y)</t>
  </si>
  <si>
    <t>(X - ͞x)*(y - ͞y)</t>
  </si>
  <si>
    <t>(x - ͞x)²</t>
  </si>
  <si>
    <t>∑(x - ͞x)*(y - ͞y)</t>
  </si>
  <si>
    <t>∑(x - ͞x)²</t>
  </si>
  <si>
    <t xml:space="preserve"> ͞x </t>
  </si>
  <si>
    <t xml:space="preserve"> ͞y </t>
  </si>
  <si>
    <t>Y (Predicted)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</si>
</sst>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2" fillId="0" borderId="0" xfId="0" applyFont="1"/>
    <xf numFmtId="0" fontId="4" fillId="0" borderId="1" xfId="0" applyFont="1" applyBorder="1" applyAlignment="1">
      <alignment horizontal="center" vertical="center" readingOrder="1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4" fillId="0" borderId="0" xfId="0" applyFont="1" applyFill="1" applyBorder="1" applyAlignment="1">
      <alignment horizontal="center" vertical="center" readingOrder="1"/>
    </xf>
    <xf numFmtId="0" fontId="6" fillId="0" borderId="1" xfId="0" applyFont="1" applyBorder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 readingOrder="1"/>
    </xf>
    <xf numFmtId="0" fontId="7" fillId="0" borderId="0" xfId="0" applyFont="1" applyAlignment="1">
      <alignment horizontal="left" vertical="center" readingOrder="1"/>
    </xf>
    <xf numFmtId="0" fontId="7" fillId="0" borderId="0" xfId="0" applyFont="1"/>
    <xf numFmtId="0" fontId="7" fillId="0" borderId="0" xfId="0" applyFont="1" applyAlignment="1">
      <alignment horizontal="center" vertical="center" readingOrder="1"/>
    </xf>
    <xf numFmtId="0" fontId="7" fillId="0" borderId="0" xfId="0" applyFont="1" applyAlignment="1">
      <alignment horizontal="center"/>
    </xf>
    <xf numFmtId="0" fontId="8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Sheet1!$A$2:$A$12</c:f>
              <c:numCache>
                <c:formatCode>General</c:formatCode>
                <c:ptCount val="11"/>
                <c:pt idx="0">
                  <c:v>1</c:v>
                </c:pt>
                <c:pt idx="1">
                  <c:v>1.2</c:v>
                </c:pt>
                <c:pt idx="2">
                  <c:v>1.5</c:v>
                </c:pt>
                <c:pt idx="3">
                  <c:v>2</c:v>
                </c:pt>
                <c:pt idx="4">
                  <c:v>2.2999999999999998</c:v>
                </c:pt>
                <c:pt idx="5">
                  <c:v>2.5</c:v>
                </c:pt>
                <c:pt idx="6">
                  <c:v>2.7</c:v>
                </c:pt>
                <c:pt idx="7">
                  <c:v>3</c:v>
                </c:pt>
                <c:pt idx="8">
                  <c:v>3.1</c:v>
                </c:pt>
                <c:pt idx="9">
                  <c:v>3.2</c:v>
                </c:pt>
                <c:pt idx="10">
                  <c:v>3.6</c:v>
                </c:pt>
              </c:numCache>
            </c:numRef>
          </c:xVal>
          <c:yVal>
            <c:numRef>
              <c:f>Sheet1!$B$2:$B$12</c:f>
              <c:numCache>
                <c:formatCode>General</c:formatCode>
                <c:ptCount val="11"/>
                <c:pt idx="0">
                  <c:v>1.5</c:v>
                </c:pt>
                <c:pt idx="1">
                  <c:v>2</c:v>
                </c:pt>
                <c:pt idx="2">
                  <c:v>3</c:v>
                </c:pt>
                <c:pt idx="3">
                  <c:v>1.8</c:v>
                </c:pt>
                <c:pt idx="4">
                  <c:v>2.7</c:v>
                </c:pt>
                <c:pt idx="5">
                  <c:v>4.7</c:v>
                </c:pt>
                <c:pt idx="6">
                  <c:v>7.1</c:v>
                </c:pt>
                <c:pt idx="7">
                  <c:v>10</c:v>
                </c:pt>
                <c:pt idx="8">
                  <c:v>6</c:v>
                </c:pt>
                <c:pt idx="9">
                  <c:v>5</c:v>
                </c:pt>
                <c:pt idx="10">
                  <c:v>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09-4755-A2DE-544F012B7D0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Sheet1!$A$2:$A$12</c:f>
              <c:numCache>
                <c:formatCode>General</c:formatCode>
                <c:ptCount val="11"/>
                <c:pt idx="0">
                  <c:v>1</c:v>
                </c:pt>
                <c:pt idx="1">
                  <c:v>1.2</c:v>
                </c:pt>
                <c:pt idx="2">
                  <c:v>1.5</c:v>
                </c:pt>
                <c:pt idx="3">
                  <c:v>2</c:v>
                </c:pt>
                <c:pt idx="4">
                  <c:v>2.2999999999999998</c:v>
                </c:pt>
                <c:pt idx="5">
                  <c:v>2.5</c:v>
                </c:pt>
                <c:pt idx="6">
                  <c:v>2.7</c:v>
                </c:pt>
                <c:pt idx="7">
                  <c:v>3</c:v>
                </c:pt>
                <c:pt idx="8">
                  <c:v>3.1</c:v>
                </c:pt>
                <c:pt idx="9">
                  <c:v>3.2</c:v>
                </c:pt>
                <c:pt idx="10">
                  <c:v>3.6</c:v>
                </c:pt>
              </c:numCache>
            </c:numRef>
          </c:xVal>
          <c:yVal>
            <c:numRef>
              <c:f>Sheet1!$G$2:$G$12</c:f>
              <c:numCache>
                <c:formatCode>General</c:formatCode>
                <c:ptCount val="11"/>
                <c:pt idx="0">
                  <c:v>0.95</c:v>
                </c:pt>
                <c:pt idx="1">
                  <c:v>1.51</c:v>
                </c:pt>
                <c:pt idx="2">
                  <c:v>2.35</c:v>
                </c:pt>
                <c:pt idx="3">
                  <c:v>3.75</c:v>
                </c:pt>
                <c:pt idx="4">
                  <c:v>4.59</c:v>
                </c:pt>
                <c:pt idx="5">
                  <c:v>5.15</c:v>
                </c:pt>
                <c:pt idx="6">
                  <c:v>5.71</c:v>
                </c:pt>
                <c:pt idx="7">
                  <c:v>6.55</c:v>
                </c:pt>
                <c:pt idx="8">
                  <c:v>6.83</c:v>
                </c:pt>
                <c:pt idx="9">
                  <c:v>7.11</c:v>
                </c:pt>
                <c:pt idx="10">
                  <c:v>8.23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09-4755-A2DE-544F012B7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60864"/>
        <c:axId val="160200272"/>
      </c:scatterChart>
      <c:valAx>
        <c:axId val="16666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00272"/>
        <c:crosses val="autoZero"/>
        <c:crossBetween val="midCat"/>
      </c:valAx>
      <c:valAx>
        <c:axId val="16020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60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Sheet2!$C$2</c:f>
              <c:strCache>
                <c:ptCount val="1"/>
                <c:pt idx="0">
                  <c:v>Topics Solved (Y)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Sheet2!$B$3:$B$13</c:f>
              <c:numCache>
                <c:formatCode>General</c:formatCode>
                <c:ptCount val="11"/>
                <c:pt idx="0">
                  <c:v>1</c:v>
                </c:pt>
                <c:pt idx="1">
                  <c:v>1.2</c:v>
                </c:pt>
                <c:pt idx="2">
                  <c:v>1.5</c:v>
                </c:pt>
                <c:pt idx="3">
                  <c:v>2</c:v>
                </c:pt>
                <c:pt idx="4">
                  <c:v>2.2999999999999998</c:v>
                </c:pt>
                <c:pt idx="5">
                  <c:v>2.5</c:v>
                </c:pt>
                <c:pt idx="6">
                  <c:v>2.7</c:v>
                </c:pt>
                <c:pt idx="7">
                  <c:v>3</c:v>
                </c:pt>
                <c:pt idx="8">
                  <c:v>3.1</c:v>
                </c:pt>
                <c:pt idx="9">
                  <c:v>3.2</c:v>
                </c:pt>
                <c:pt idx="10">
                  <c:v>3.6</c:v>
                </c:pt>
              </c:numCache>
            </c:numRef>
          </c:xVal>
          <c:yVal>
            <c:numRef>
              <c:f>Sheet2!$C$3:$C$13</c:f>
              <c:numCache>
                <c:formatCode>General</c:formatCode>
                <c:ptCount val="11"/>
                <c:pt idx="0">
                  <c:v>1.5</c:v>
                </c:pt>
                <c:pt idx="1">
                  <c:v>2</c:v>
                </c:pt>
                <c:pt idx="2">
                  <c:v>3</c:v>
                </c:pt>
                <c:pt idx="3">
                  <c:v>1.8</c:v>
                </c:pt>
                <c:pt idx="4">
                  <c:v>2.7</c:v>
                </c:pt>
                <c:pt idx="5">
                  <c:v>4.7</c:v>
                </c:pt>
                <c:pt idx="6">
                  <c:v>7.1</c:v>
                </c:pt>
                <c:pt idx="7">
                  <c:v>10</c:v>
                </c:pt>
                <c:pt idx="8">
                  <c:v>6</c:v>
                </c:pt>
                <c:pt idx="9">
                  <c:v>5</c:v>
                </c:pt>
                <c:pt idx="10">
                  <c:v>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27-4FBC-8992-68408184693F}"/>
            </c:ext>
          </c:extLst>
        </c:ser>
        <c:ser>
          <c:idx val="1"/>
          <c:order val="1"/>
          <c:tx>
            <c:strRef>
              <c:f>Sheet2!$D$2</c:f>
              <c:strCache>
                <c:ptCount val="1"/>
                <c:pt idx="0">
                  <c:v>Y (Predicted)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Sheet2!$B$3:$B$13</c:f>
              <c:numCache>
                <c:formatCode>General</c:formatCode>
                <c:ptCount val="11"/>
                <c:pt idx="0">
                  <c:v>1</c:v>
                </c:pt>
                <c:pt idx="1">
                  <c:v>1.2</c:v>
                </c:pt>
                <c:pt idx="2">
                  <c:v>1.5</c:v>
                </c:pt>
                <c:pt idx="3">
                  <c:v>2</c:v>
                </c:pt>
                <c:pt idx="4">
                  <c:v>2.2999999999999998</c:v>
                </c:pt>
                <c:pt idx="5">
                  <c:v>2.5</c:v>
                </c:pt>
                <c:pt idx="6">
                  <c:v>2.7</c:v>
                </c:pt>
                <c:pt idx="7">
                  <c:v>3</c:v>
                </c:pt>
                <c:pt idx="8">
                  <c:v>3.1</c:v>
                </c:pt>
                <c:pt idx="9">
                  <c:v>3.2</c:v>
                </c:pt>
                <c:pt idx="10">
                  <c:v>3.6</c:v>
                </c:pt>
              </c:numCache>
            </c:numRef>
          </c:xVal>
          <c:yVal>
            <c:numRef>
              <c:f>Sheet2!$D$3:$D$13</c:f>
              <c:numCache>
                <c:formatCode>General</c:formatCode>
                <c:ptCount val="11"/>
                <c:pt idx="0">
                  <c:v>0.95</c:v>
                </c:pt>
                <c:pt idx="1">
                  <c:v>1.51</c:v>
                </c:pt>
                <c:pt idx="2">
                  <c:v>2.35</c:v>
                </c:pt>
                <c:pt idx="3">
                  <c:v>3.75</c:v>
                </c:pt>
                <c:pt idx="4">
                  <c:v>4.59</c:v>
                </c:pt>
                <c:pt idx="5">
                  <c:v>5.15</c:v>
                </c:pt>
                <c:pt idx="6">
                  <c:v>5.71</c:v>
                </c:pt>
                <c:pt idx="7">
                  <c:v>6.55</c:v>
                </c:pt>
                <c:pt idx="8">
                  <c:v>6.83</c:v>
                </c:pt>
                <c:pt idx="9">
                  <c:v>7.11</c:v>
                </c:pt>
                <c:pt idx="10">
                  <c:v>8.23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27-4FBC-8992-6840818469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26464"/>
        <c:axId val="160279728"/>
      </c:scatterChart>
      <c:valAx>
        <c:axId val="16662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79728"/>
        <c:crosses val="autoZero"/>
        <c:crossBetween val="midCat"/>
      </c:valAx>
      <c:valAx>
        <c:axId val="16027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26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597647</xdr:colOff>
      <xdr:row>1</xdr:row>
      <xdr:rowOff>2987</xdr:rowOff>
    </xdr:from>
    <xdr:to>
      <xdr:col>16</xdr:col>
      <xdr:colOff>268941</xdr:colOff>
      <xdr:row>9</xdr:row>
      <xdr:rowOff>116540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C45AEC-95CE-41C3-8474-3F8BB5345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15875</xdr:colOff>
      <xdr:row>1</xdr:row>
      <xdr:rowOff>0</xdr:rowOff>
    </xdr:from>
    <xdr:to>
      <xdr:col>12</xdr:col>
      <xdr:colOff>320675</xdr:colOff>
      <xdr:row>12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51C0A9-7142-4F08-9B43-D4AB3DD0B0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zoomScale="85" zoomScaleNormal="85" workbookViewId="0">
      <selection activeCell="G1" sqref="G1:G12"/>
    </sheetView>
  </sheetViews>
  <sheetFormatPr defaultRowHeight="14.5" x14ac:dyDescent="0.35"/>
  <cols>
    <col min="1" max="1" width="14.6328125" bestFit="1" customWidth="1"/>
    <col min="2" max="2" width="15.90625" bestFit="1" customWidth="1"/>
    <col min="3" max="3" width="8.81640625" bestFit="1" customWidth="1"/>
    <col min="5" max="5" width="20.81640625" customWidth="1"/>
    <col min="6" max="6" width="16.26953125" bestFit="1" customWidth="1"/>
    <col min="7" max="7" width="19.453125" bestFit="1" customWidth="1"/>
  </cols>
  <sheetData>
    <row r="1" spans="1:10" ht="23.5" x14ac:dyDescent="0.55000000000000004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11" t="s">
        <v>5</v>
      </c>
      <c r="G1" s="9" t="s">
        <v>10</v>
      </c>
      <c r="H1" s="2"/>
      <c r="I1" s="2"/>
      <c r="J1" s="2"/>
    </row>
    <row r="2" spans="1:10" ht="26" x14ac:dyDescent="0.45">
      <c r="A2" s="5">
        <v>1</v>
      </c>
      <c r="B2" s="5">
        <v>1.5</v>
      </c>
      <c r="C2" s="6">
        <f>A2-2.373</f>
        <v>-1.3730000000000002</v>
      </c>
      <c r="D2" s="6">
        <f>B2-4.79</f>
        <v>-3.29</v>
      </c>
      <c r="E2" s="6">
        <f>C2*D2</f>
        <v>4.517170000000001</v>
      </c>
      <c r="F2" s="6">
        <f>C2*C2</f>
        <v>1.8851290000000005</v>
      </c>
      <c r="G2" s="14">
        <v>0.95</v>
      </c>
      <c r="H2" s="12"/>
      <c r="J2" s="3"/>
    </row>
    <row r="3" spans="1:10" ht="26" x14ac:dyDescent="0.45">
      <c r="A3" s="5">
        <v>1.2</v>
      </c>
      <c r="B3" s="5">
        <v>2</v>
      </c>
      <c r="C3" s="6">
        <f t="shared" ref="C3:C12" si="0">A3-2.373</f>
        <v>-1.1730000000000003</v>
      </c>
      <c r="D3" s="6">
        <f t="shared" ref="D3:D12" si="1">B3-4.79</f>
        <v>-2.79</v>
      </c>
      <c r="E3" s="6">
        <f t="shared" ref="E3:E12" si="2">C3*D3</f>
        <v>3.2726700000000006</v>
      </c>
      <c r="F3" s="6">
        <f t="shared" ref="F3:F12" si="3">C3*C3</f>
        <v>1.3759290000000006</v>
      </c>
      <c r="G3" s="14">
        <v>1.51</v>
      </c>
      <c r="H3" s="12"/>
      <c r="J3" s="3"/>
    </row>
    <row r="4" spans="1:10" ht="26" x14ac:dyDescent="0.45">
      <c r="A4" s="5">
        <v>1.5</v>
      </c>
      <c r="B4" s="5">
        <v>3</v>
      </c>
      <c r="C4" s="6">
        <f t="shared" si="0"/>
        <v>-0.87300000000000022</v>
      </c>
      <c r="D4" s="6">
        <f t="shared" si="1"/>
        <v>-1.79</v>
      </c>
      <c r="E4" s="6">
        <f t="shared" si="2"/>
        <v>1.5626700000000004</v>
      </c>
      <c r="F4" s="6">
        <f t="shared" si="3"/>
        <v>0.76212900000000039</v>
      </c>
      <c r="G4" s="14">
        <v>2.35</v>
      </c>
      <c r="H4" s="12"/>
      <c r="J4" s="3"/>
    </row>
    <row r="5" spans="1:10" ht="26" x14ac:dyDescent="0.45">
      <c r="A5" s="5">
        <v>2</v>
      </c>
      <c r="B5" s="5">
        <v>1.8</v>
      </c>
      <c r="C5" s="6">
        <f t="shared" si="0"/>
        <v>-0.37300000000000022</v>
      </c>
      <c r="D5" s="6">
        <f t="shared" si="1"/>
        <v>-2.99</v>
      </c>
      <c r="E5" s="6">
        <f t="shared" si="2"/>
        <v>1.1152700000000006</v>
      </c>
      <c r="F5" s="6">
        <f t="shared" si="3"/>
        <v>0.13912900000000017</v>
      </c>
      <c r="G5" s="14">
        <v>3.75</v>
      </c>
      <c r="H5" s="12"/>
      <c r="J5" s="3"/>
    </row>
    <row r="6" spans="1:10" ht="26" x14ac:dyDescent="0.45">
      <c r="A6" s="5">
        <v>2.2999999999999998</v>
      </c>
      <c r="B6" s="5">
        <v>2.7</v>
      </c>
      <c r="C6" s="6">
        <f t="shared" si="0"/>
        <v>-7.3000000000000398E-2</v>
      </c>
      <c r="D6" s="6">
        <f t="shared" si="1"/>
        <v>-2.09</v>
      </c>
      <c r="E6" s="6">
        <f t="shared" si="2"/>
        <v>0.15257000000000082</v>
      </c>
      <c r="F6" s="6">
        <f t="shared" si="3"/>
        <v>5.3290000000000585E-3</v>
      </c>
      <c r="G6" s="14">
        <v>4.59</v>
      </c>
      <c r="H6" s="12"/>
      <c r="J6" s="3"/>
    </row>
    <row r="7" spans="1:10" ht="26" x14ac:dyDescent="0.45">
      <c r="A7" s="5">
        <v>2.5</v>
      </c>
      <c r="B7" s="5">
        <v>4.7</v>
      </c>
      <c r="C7" s="6">
        <f t="shared" si="0"/>
        <v>0.12699999999999978</v>
      </c>
      <c r="D7" s="6">
        <f t="shared" si="1"/>
        <v>-8.9999999999999858E-2</v>
      </c>
      <c r="E7" s="6">
        <f t="shared" si="2"/>
        <v>-1.1429999999999963E-2</v>
      </c>
      <c r="F7" s="6">
        <f t="shared" si="3"/>
        <v>1.6128999999999945E-2</v>
      </c>
      <c r="G7" s="14">
        <v>5.15</v>
      </c>
      <c r="H7" s="12"/>
      <c r="J7" s="3"/>
    </row>
    <row r="8" spans="1:10" ht="26" x14ac:dyDescent="0.45">
      <c r="A8" s="5">
        <v>2.7</v>
      </c>
      <c r="B8" s="5">
        <v>7.1</v>
      </c>
      <c r="C8" s="6">
        <f t="shared" si="0"/>
        <v>0.32699999999999996</v>
      </c>
      <c r="D8" s="6">
        <f t="shared" si="1"/>
        <v>2.3099999999999996</v>
      </c>
      <c r="E8" s="6">
        <f t="shared" si="2"/>
        <v>0.75536999999999976</v>
      </c>
      <c r="F8" s="6">
        <f t="shared" si="3"/>
        <v>0.10692899999999997</v>
      </c>
      <c r="G8" s="14">
        <v>5.71</v>
      </c>
      <c r="H8" s="12"/>
      <c r="J8" s="3"/>
    </row>
    <row r="9" spans="1:10" ht="26" x14ac:dyDescent="0.45">
      <c r="A9" s="5">
        <v>3</v>
      </c>
      <c r="B9" s="5">
        <v>10</v>
      </c>
      <c r="C9" s="6">
        <f t="shared" si="0"/>
        <v>0.62699999999999978</v>
      </c>
      <c r="D9" s="6">
        <f t="shared" si="1"/>
        <v>5.21</v>
      </c>
      <c r="E9" s="6">
        <f t="shared" si="2"/>
        <v>3.2666699999999986</v>
      </c>
      <c r="F9" s="6">
        <f t="shared" si="3"/>
        <v>0.39312899999999973</v>
      </c>
      <c r="G9" s="14">
        <v>6.55</v>
      </c>
      <c r="H9" s="12"/>
      <c r="J9" s="3"/>
    </row>
    <row r="10" spans="1:10" ht="26" x14ac:dyDescent="0.45">
      <c r="A10" s="5">
        <v>3.1</v>
      </c>
      <c r="B10" s="5">
        <v>6</v>
      </c>
      <c r="C10" s="6">
        <f t="shared" si="0"/>
        <v>0.72699999999999987</v>
      </c>
      <c r="D10" s="6">
        <f t="shared" si="1"/>
        <v>1.21</v>
      </c>
      <c r="E10" s="6">
        <f t="shared" si="2"/>
        <v>0.87966999999999984</v>
      </c>
      <c r="F10" s="6">
        <f t="shared" si="3"/>
        <v>0.5285289999999998</v>
      </c>
      <c r="G10" s="14">
        <v>6.83</v>
      </c>
      <c r="H10" s="12"/>
      <c r="J10" s="3"/>
    </row>
    <row r="11" spans="1:10" ht="26" x14ac:dyDescent="0.45">
      <c r="A11" s="5">
        <v>3.2</v>
      </c>
      <c r="B11" s="5">
        <v>5</v>
      </c>
      <c r="C11" s="6">
        <f t="shared" si="0"/>
        <v>0.82699999999999996</v>
      </c>
      <c r="D11" s="6">
        <f t="shared" si="1"/>
        <v>0.20999999999999996</v>
      </c>
      <c r="E11" s="6">
        <f t="shared" si="2"/>
        <v>0.17366999999999996</v>
      </c>
      <c r="F11" s="6">
        <f t="shared" si="3"/>
        <v>0.6839289999999999</v>
      </c>
      <c r="G11" s="14">
        <v>7.11</v>
      </c>
      <c r="H11" s="12"/>
      <c r="J11" s="3"/>
    </row>
    <row r="12" spans="1:10" ht="26" x14ac:dyDescent="0.6">
      <c r="A12" s="5">
        <v>3.6</v>
      </c>
      <c r="B12" s="5">
        <v>8.9</v>
      </c>
      <c r="C12" s="6">
        <f t="shared" si="0"/>
        <v>1.2269999999999999</v>
      </c>
      <c r="D12" s="6">
        <f t="shared" si="1"/>
        <v>4.1100000000000003</v>
      </c>
      <c r="E12" s="6">
        <f t="shared" si="2"/>
        <v>5.0429699999999995</v>
      </c>
      <c r="F12" s="6">
        <f t="shared" si="3"/>
        <v>1.5055289999999997</v>
      </c>
      <c r="G12" s="15">
        <v>8.23</v>
      </c>
      <c r="H12" s="13"/>
      <c r="J12" s="3"/>
    </row>
    <row r="13" spans="1:10" ht="18.5" x14ac:dyDescent="0.45">
      <c r="A13" s="7"/>
      <c r="B13" s="7"/>
      <c r="C13" s="7"/>
      <c r="D13" s="7"/>
      <c r="E13" s="7"/>
      <c r="F13" s="7"/>
    </row>
    <row r="14" spans="1:10" ht="18.5" x14ac:dyDescent="0.45">
      <c r="A14" s="8">
        <v>2.3730000000000002</v>
      </c>
      <c r="B14" s="8">
        <v>4.79</v>
      </c>
      <c r="C14" s="10"/>
      <c r="D14" s="10"/>
      <c r="E14" s="10">
        <v>20.73</v>
      </c>
      <c r="F14" s="10">
        <v>7.41</v>
      </c>
    </row>
    <row r="15" spans="1:10" ht="23.5" x14ac:dyDescent="0.55000000000000004">
      <c r="A15" s="8" t="s">
        <v>8</v>
      </c>
      <c r="B15" s="10" t="s">
        <v>9</v>
      </c>
      <c r="C15" s="7"/>
      <c r="D15" s="7"/>
      <c r="E15" s="9" t="s">
        <v>6</v>
      </c>
      <c r="F15" s="9" t="s">
        <v>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0F56-A364-4533-9448-5B816D337FCC}">
  <dimension ref="B2:D13"/>
  <sheetViews>
    <sheetView tabSelected="1" workbookViewId="0">
      <selection activeCell="P7" sqref="P7"/>
    </sheetView>
  </sheetViews>
  <sheetFormatPr defaultRowHeight="14.5" x14ac:dyDescent="0.35"/>
  <cols>
    <col min="2" max="2" width="10.81640625" bestFit="1" customWidth="1"/>
    <col min="3" max="3" width="19" bestFit="1" customWidth="1"/>
    <col min="4" max="4" width="18.54296875" bestFit="1" customWidth="1"/>
  </cols>
  <sheetData>
    <row r="2" spans="2:4" ht="18.5" x14ac:dyDescent="0.45">
      <c r="B2" s="16" t="s">
        <v>0</v>
      </c>
      <c r="C2" s="16" t="s">
        <v>1</v>
      </c>
      <c r="D2" s="16" t="s">
        <v>10</v>
      </c>
    </row>
    <row r="3" spans="2:4" ht="18.5" x14ac:dyDescent="0.35">
      <c r="B3" s="5">
        <v>1</v>
      </c>
      <c r="C3" s="5">
        <v>1.5</v>
      </c>
      <c r="D3" s="5">
        <v>0.95</v>
      </c>
    </row>
    <row r="4" spans="2:4" ht="18.5" x14ac:dyDescent="0.35">
      <c r="B4" s="5">
        <v>1.2</v>
      </c>
      <c r="C4" s="5">
        <v>2</v>
      </c>
      <c r="D4" s="5">
        <v>1.51</v>
      </c>
    </row>
    <row r="5" spans="2:4" ht="18.5" x14ac:dyDescent="0.35">
      <c r="B5" s="5">
        <v>1.5</v>
      </c>
      <c r="C5" s="5">
        <v>3</v>
      </c>
      <c r="D5" s="5">
        <v>2.35</v>
      </c>
    </row>
    <row r="6" spans="2:4" ht="18.5" x14ac:dyDescent="0.35">
      <c r="B6" s="5">
        <v>2</v>
      </c>
      <c r="C6" s="5">
        <v>1.8</v>
      </c>
      <c r="D6" s="5">
        <v>3.75</v>
      </c>
    </row>
    <row r="7" spans="2:4" ht="18.5" x14ac:dyDescent="0.35">
      <c r="B7" s="5">
        <v>2.2999999999999998</v>
      </c>
      <c r="C7" s="5">
        <v>2.7</v>
      </c>
      <c r="D7" s="5">
        <v>4.59</v>
      </c>
    </row>
    <row r="8" spans="2:4" ht="18.5" x14ac:dyDescent="0.35">
      <c r="B8" s="5">
        <v>2.5</v>
      </c>
      <c r="C8" s="5">
        <v>4.7</v>
      </c>
      <c r="D8" s="5">
        <v>5.15</v>
      </c>
    </row>
    <row r="9" spans="2:4" ht="18.5" x14ac:dyDescent="0.35">
      <c r="B9" s="5">
        <v>2.7</v>
      </c>
      <c r="C9" s="5">
        <v>7.1</v>
      </c>
      <c r="D9" s="5">
        <v>5.71</v>
      </c>
    </row>
    <row r="10" spans="2:4" ht="18.5" x14ac:dyDescent="0.35">
      <c r="B10" s="5">
        <v>3</v>
      </c>
      <c r="C10" s="5">
        <v>10</v>
      </c>
      <c r="D10" s="5">
        <v>6.55</v>
      </c>
    </row>
    <row r="11" spans="2:4" ht="18.5" x14ac:dyDescent="0.35">
      <c r="B11" s="5">
        <v>3.1</v>
      </c>
      <c r="C11" s="5">
        <v>6</v>
      </c>
      <c r="D11" s="5">
        <v>6.83</v>
      </c>
    </row>
    <row r="12" spans="2:4" ht="18.5" x14ac:dyDescent="0.35">
      <c r="B12" s="5">
        <v>3.2</v>
      </c>
      <c r="C12" s="5">
        <v>5</v>
      </c>
      <c r="D12" s="5">
        <v>7.11</v>
      </c>
    </row>
    <row r="13" spans="2:4" ht="18.5" x14ac:dyDescent="0.45">
      <c r="B13" s="5">
        <v>3.6</v>
      </c>
      <c r="C13" s="5">
        <v>8.9</v>
      </c>
      <c r="D13" s="17">
        <v>8.23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</dc:creator>
  <cp:lastModifiedBy>Venkatesh A Bhandage [MAHE-MIT]</cp:lastModifiedBy>
  <dcterms:created xsi:type="dcterms:W3CDTF">2015-06-05T18:17:20Z</dcterms:created>
  <dcterms:modified xsi:type="dcterms:W3CDTF">2026-08-06T13:37:11Z</dcterms:modified>
</cp:coreProperties>
</file>